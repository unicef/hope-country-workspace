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5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useholds" sheetId="1" state="visible" r:id="rId3"/>
    <sheet name="Individuals" sheetId="2" state="visible" r:id="rId4"/>
    <sheet name="People" sheetId="3" state="visible" r:id="rId5"/>
  </sheets>
  <definedNames>
    <definedName function="false" hidden="true" localSheetId="1" name="_xlnm._FilterDatabase" vbProcedure="false">Individuals!$B$1:$P$13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<sst xmlns="http://schemas.openxmlformats.org/spreadsheetml/2006/main" count="156" uniqueCount="105">
  <si>
    <t xml:space="preserve">household_id</t>
  </si>
  <si>
    <t xml:space="preserve">consent_h_c</t>
  </si>
  <si>
    <t xml:space="preserve">country_origin_h_c</t>
  </si>
  <si>
    <t xml:space="preserve">country_h_c</t>
  </si>
  <si>
    <t xml:space="preserve">admin1_h_c</t>
  </si>
  <si>
    <t xml:space="preserve">admin2_h_c</t>
  </si>
  <si>
    <t xml:space="preserve">admin3_h_c</t>
  </si>
  <si>
    <t xml:space="preserve">size_h_c</t>
  </si>
  <si>
    <t xml:space="preserve">registration_method_h_c</t>
  </si>
  <si>
    <t xml:space="preserve">name_enumerator_h_c</t>
  </si>
  <si>
    <t xml:space="preserve">org_enumerator_h_c</t>
  </si>
  <si>
    <t xml:space="preserve">consent_sharing_h_c</t>
  </si>
  <si>
    <t xml:space="preserve">head_of_household_id</t>
  </si>
  <si>
    <t xml:space="preserve">primary_collector_id</t>
  </si>
  <si>
    <t xml:space="preserve">alternate_collector_id</t>
  </si>
  <si>
    <t xml:space="preserve">AFG</t>
  </si>
  <si>
    <t xml:space="preserve">AF29</t>
  </si>
  <si>
    <t xml:space="preserve">AF0902</t>
  </si>
  <si>
    <t xml:space="preserve">UA0112001</t>
  </si>
  <si>
    <t xml:space="preserve">HH_REGISTRATION</t>
  </si>
  <si>
    <t xml:space="preserve">Ryan</t>
  </si>
  <si>
    <t xml:space="preserve">PARTNER</t>
  </si>
  <si>
    <t xml:space="preserve">HUMANITARIAN_PARTNER,UNICEF</t>
  </si>
  <si>
    <t xml:space="preserve">Vanessa</t>
  </si>
  <si>
    <t xml:space="preserve">unicef government_partner</t>
  </si>
  <si>
    <t xml:space="preserve">individual_id</t>
  </si>
  <si>
    <t xml:space="preserve">relationship_i_c</t>
  </si>
  <si>
    <t xml:space="preserve">full_name_i_c</t>
  </si>
  <si>
    <t xml:space="preserve">given_name_i_c</t>
  </si>
  <si>
    <t xml:space="preserve">middle_name_i_c</t>
  </si>
  <si>
    <t xml:space="preserve">family_name_i_c</t>
  </si>
  <si>
    <t xml:space="preserve">photo_i_c</t>
  </si>
  <si>
    <t xml:space="preserve">gender_i_c</t>
  </si>
  <si>
    <t xml:space="preserve">birth_date_i_c</t>
  </si>
  <si>
    <t xml:space="preserve">estimated_birth_date_i_c</t>
  </si>
  <si>
    <t xml:space="preserve">national_id_no_i_c</t>
  </si>
  <si>
    <t xml:space="preserve">national_id_photo_i_c</t>
  </si>
  <si>
    <t xml:space="preserve">national_id_issuer_i_c</t>
  </si>
  <si>
    <t xml:space="preserve">phone_no_i_c</t>
  </si>
  <si>
    <t xml:space="preserve">disability_i_c</t>
  </si>
  <si>
    <t xml:space="preserve">alien_i_c</t>
  </si>
  <si>
    <t xml:space="preserve">HEAD</t>
  </si>
  <si>
    <t xml:space="preserve">Edward Jeffrey Rogers</t>
  </si>
  <si>
    <t xml:space="preserve">Edward</t>
  </si>
  <si>
    <t xml:space="preserve">Rogers</t>
  </si>
  <si>
    <t xml:space="preserve">FEMALE</t>
  </si>
  <si>
    <t xml:space="preserve">XY864IGL69</t>
  </si>
  <si>
    <t xml:space="preserve">+261329395742</t>
  </si>
  <si>
    <t xml:space="preserve">not disabled</t>
  </si>
  <si>
    <t xml:space="preserve">gray</t>
  </si>
  <si>
    <t xml:space="preserve">SON_DAUGHTER</t>
  </si>
  <si>
    <t xml:space="preserve">Jeff David Rogers</t>
  </si>
  <si>
    <t xml:space="preserve">Jeff</t>
  </si>
  <si>
    <t xml:space="preserve">David</t>
  </si>
  <si>
    <t xml:space="preserve">MALE</t>
  </si>
  <si>
    <t xml:space="preserve">O25Y3JFHX4</t>
  </si>
  <si>
    <t xml:space="preserve"> </t>
  </si>
  <si>
    <t xml:space="preserve">disabled</t>
  </si>
  <si>
    <t xml:space="preserve">SISTERINLAW_BROTHERINLAW</t>
  </si>
  <si>
    <t xml:space="preserve">Christopher Blake Rogers</t>
  </si>
  <si>
    <t xml:space="preserve">Christopher</t>
  </si>
  <si>
    <t xml:space="preserve">Blake</t>
  </si>
  <si>
    <t xml:space="preserve">AB297FH42</t>
  </si>
  <si>
    <t xml:space="preserve">MOTHERINLAW_FATHERINLAW</t>
  </si>
  <si>
    <t xml:space="preserve">Helen Randall Rogers</t>
  </si>
  <si>
    <t xml:space="preserve">Helen</t>
  </si>
  <si>
    <t xml:space="preserve">Randall</t>
  </si>
  <si>
    <t xml:space="preserve">Y19DSNIHB2</t>
  </si>
  <si>
    <t xml:space="preserve">green</t>
  </si>
  <si>
    <t xml:space="preserve">GRANDDAUGHER_GRANDSON</t>
  </si>
  <si>
    <t xml:space="preserve">Melissa Scott Rogers</t>
  </si>
  <si>
    <t xml:space="preserve">Melissa</t>
  </si>
  <si>
    <t xml:space="preserve">Scott</t>
  </si>
  <si>
    <t xml:space="preserve">KM615QR83</t>
  </si>
  <si>
    <t xml:space="preserve">Samantha Amber Douglas</t>
  </si>
  <si>
    <t xml:space="preserve">Samantha</t>
  </si>
  <si>
    <t xml:space="preserve">Amber</t>
  </si>
  <si>
    <t xml:space="preserve">Douglas</t>
  </si>
  <si>
    <t xml:space="preserve">PL439ZX17</t>
  </si>
  <si>
    <t xml:space="preserve">BROTHER_SISTER</t>
  </si>
  <si>
    <t xml:space="preserve">Amy Shawn Douglas</t>
  </si>
  <si>
    <t xml:space="preserve">Amy</t>
  </si>
  <si>
    <t xml:space="preserve">Shawn</t>
  </si>
  <si>
    <t xml:space="preserve">VN782CD56</t>
  </si>
  <si>
    <t xml:space="preserve">Justin Charles Douglas</t>
  </si>
  <si>
    <t xml:space="preserve">Justin</t>
  </si>
  <si>
    <t xml:space="preserve">Charles</t>
  </si>
  <si>
    <t xml:space="preserve">MIBCPNZV3C</t>
  </si>
  <si>
    <t xml:space="preserve">+261329346901</t>
  </si>
  <si>
    <t xml:space="preserve">Nataly</t>
  </si>
  <si>
    <t xml:space="preserve">Catherine</t>
  </si>
  <si>
    <t xml:space="preserve">RT148GJ94</t>
  </si>
  <si>
    <t xml:space="preserve">pp_index_id</t>
  </si>
  <si>
    <t xml:space="preserve">pp_full_name_i_c</t>
  </si>
  <si>
    <t xml:space="preserve">pp_birth_date_i_c</t>
  </si>
  <si>
    <t xml:space="preserve">pp_residence_status_i_c</t>
  </si>
  <si>
    <t xml:space="preserve">pp_type_i_c</t>
  </si>
  <si>
    <t xml:space="preserve">pp_country_i_c</t>
  </si>
  <si>
    <t xml:space="preserve">Collector ForJanIndex_3</t>
  </si>
  <si>
    <t xml:space="preserve">REFUGEE</t>
  </si>
  <si>
    <t xml:space="preserve">NON_BENEFICIARY</t>
  </si>
  <si>
    <t xml:space="preserve">IMN</t>
  </si>
  <si>
    <t xml:space="preserve">WorkerCollector ForDerekIndex_4</t>
  </si>
  <si>
    <t xml:space="preserve">Jan    Index3</t>
  </si>
  <si>
    <t xml:space="preserve">Derek Index4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</si>
</sst>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TRUE&quot;;&quot;TRUE&quot;;&quot;FALSE&quot;"/>
    <numFmt numFmtId="166" formatCode="@"/>
    <numFmt numFmtId="167" formatCode="General"/>
    <numFmt numFmtId="168" formatCode="m/d/yyyy"/>
    <numFmt numFmtId="169" formatCode="0"/>
    <numFmt numFmtId="170" formatCode="d/m/yyyy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12</xdr:col>
      <xdr:colOff>97200</xdr:colOff>
      <xdr:row>2</xdr:row>
      <xdr:rowOff>94320</xdr:rowOff>
    </xdr:to>
    <xdr:pic>
      <xdr:nvPicPr>
        <xdr:cNvPr id="0" name="Image 3" descr=""/>
        <xdr:cNvPicPr/>
      </xdr:nvPicPr>
      <xdr:blipFill>
        <a:blip r:embed="rId1"/>
        <a:stretch/>
      </xdr:blipFill>
      <xdr:spPr>
        <a:xfrm>
          <a:off x="17452440" y="380880"/>
          <a:ext cx="97200" cy="9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97560</xdr:colOff>
      <xdr:row>2</xdr:row>
      <xdr:rowOff>94680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877400" y="380880"/>
          <a:ext cx="97560" cy="94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9.63"/>
    <col collapsed="false" customWidth="true" hidden="false" outlineLevel="0" max="3" min="3" style="1" width="17.5"/>
    <col collapsed="false" customWidth="true" hidden="false" outlineLevel="0" max="6" min="4" style="1" width="11.83"/>
    <col collapsed="false" customWidth="true" hidden="false" outlineLevel="0" max="8" min="7" style="1" width="8"/>
    <col collapsed="false" customWidth="true" hidden="false" outlineLevel="0" max="9" min="9" style="1" width="22.5"/>
    <col collapsed="false" customWidth="true" hidden="false" outlineLevel="0" max="10" min="10" style="1" width="21"/>
    <col collapsed="false" customWidth="true" hidden="false" outlineLevel="0" max="11" min="11" style="1" width="19"/>
    <col collapsed="false" customWidth="true" hidden="false" outlineLevel="0" max="12" min="12" style="1" width="23.5"/>
    <col collapsed="false" customWidth="true" hidden="false" outlineLevel="0" max="13" min="13" style="1" width="19.5"/>
    <col collapsed="false" customWidth="true" hidden="false" outlineLevel="0" max="14" min="14" style="1" width="18.5"/>
    <col collapsed="false" customWidth="true" hidden="false" outlineLevel="0" max="16" min="15" style="1" width="19.5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1" t="n">
        <v>1</v>
      </c>
      <c r="B3" s="4" t="n">
        <f aca="false">TRUE()</f>
        <v>1</v>
      </c>
      <c r="C3" s="5" t="s">
        <v>15</v>
      </c>
      <c r="D3" s="5" t="s">
        <v>15</v>
      </c>
      <c r="E3" s="1" t="s">
        <v>16</v>
      </c>
      <c r="F3" s="1" t="s">
        <v>17</v>
      </c>
      <c r="G3" s="6" t="s">
        <v>18</v>
      </c>
      <c r="H3" s="1" t="n">
        <v>5</v>
      </c>
      <c r="I3" s="1" t="s">
        <v>19</v>
      </c>
      <c r="J3" s="1" t="s">
        <v>20</v>
      </c>
      <c r="K3" s="1" t="s">
        <v>21</v>
      </c>
      <c r="L3" s="1" t="s">
        <v>22</v>
      </c>
      <c r="M3" s="1" t="n">
        <v>2</v>
      </c>
      <c r="N3" s="1" t="n">
        <v>3</v>
      </c>
      <c r="O3" s="1" t="n">
        <v>10</v>
      </c>
    </row>
    <row r="4" customFormat="false" ht="15" hidden="false" customHeight="false" outlineLevel="0" collapsed="false">
      <c r="A4" s="1" t="n">
        <v>4</v>
      </c>
      <c r="B4" s="7" t="b">
        <f aca="false">TRUE()</f>
        <v>1</v>
      </c>
      <c r="C4" s="5" t="s">
        <v>15</v>
      </c>
      <c r="D4" s="5" t="s">
        <v>15</v>
      </c>
      <c r="E4" s="5" t="s">
        <v>16</v>
      </c>
      <c r="F4" s="5" t="s">
        <v>17</v>
      </c>
      <c r="H4" s="1" t="n">
        <v>3</v>
      </c>
      <c r="I4" s="5" t="s">
        <v>19</v>
      </c>
      <c r="J4" s="5" t="s">
        <v>23</v>
      </c>
      <c r="K4" s="5" t="s">
        <v>21</v>
      </c>
      <c r="L4" s="5" t="s">
        <v>24</v>
      </c>
      <c r="M4" s="1" t="n">
        <v>7</v>
      </c>
      <c r="N4" s="1" t="n">
        <v>4</v>
      </c>
      <c r="O4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M1" colorId="64" zoomScale="148" zoomScaleNormal="148" zoomScalePageLayoutView="100" workbookViewId="0">
      <selection pane="topLeft" activeCell="Q7" activeCellId="0" sqref="Q7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14.97"/>
    <col collapsed="false" customWidth="true" hidden="false" outlineLevel="0" max="3" min="3" style="1" width="35.5"/>
    <col collapsed="false" customWidth="true" hidden="false" outlineLevel="0" max="4" min="4" style="1" width="26.5"/>
    <col collapsed="false" customWidth="true" hidden="false" outlineLevel="0" max="5" min="5" style="1" width="14.67"/>
    <col collapsed="false" customWidth="true" hidden="false" outlineLevel="0" max="6" min="6" style="1" width="16"/>
    <col collapsed="false" customWidth="true" hidden="false" outlineLevel="0" max="7" min="7" style="1" width="15.5"/>
    <col collapsed="false" customWidth="true" hidden="false" outlineLevel="0" max="8" min="8" style="1" width="18.5"/>
    <col collapsed="false" customWidth="true" hidden="false" outlineLevel="0" max="9" min="9" style="1" width="10.34"/>
    <col collapsed="false" customWidth="true" hidden="false" outlineLevel="0" max="10" min="10" style="1" width="13.33"/>
    <col collapsed="false" customWidth="true" hidden="false" outlineLevel="0" max="11" min="11" style="1" width="22.67"/>
    <col collapsed="false" customWidth="true" hidden="false" outlineLevel="0" max="12" min="12" style="1" width="17.33"/>
    <col collapsed="false" customWidth="true" hidden="false" outlineLevel="0" max="13" min="13" style="1" width="21.33"/>
    <col collapsed="false" customWidth="true" hidden="false" outlineLevel="0" max="15" min="14" style="1" width="19.67"/>
    <col collapsed="false" customWidth="true" hidden="false" outlineLevel="0" max="17" min="16" style="1" width="11.67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2" t="s">
        <v>25</v>
      </c>
      <c r="B1" s="2" t="s">
        <v>0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</row>
    <row r="2" customFormat="false" ht="15" hidden="false" customHeight="false" outlineLevel="0" collapsed="false">
      <c r="B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" hidden="false" customHeight="false" outlineLevel="0" collapsed="false">
      <c r="A3" s="1" t="n">
        <v>1</v>
      </c>
      <c r="B3" s="1" t="n">
        <v>1</v>
      </c>
      <c r="C3" s="1" t="s">
        <v>41</v>
      </c>
      <c r="D3" s="1" t="s">
        <v>42</v>
      </c>
      <c r="E3" s="1" t="s">
        <v>43</v>
      </c>
      <c r="F3" s="3"/>
      <c r="G3" s="1" t="s">
        <v>44</v>
      </c>
      <c r="I3" s="1" t="s">
        <v>45</v>
      </c>
      <c r="J3" s="8" t="n">
        <v>28558</v>
      </c>
      <c r="K3" s="9" t="n">
        <f aca="false">TRUE()</f>
        <v>1</v>
      </c>
      <c r="L3" s="5" t="s">
        <v>46</v>
      </c>
      <c r="N3" s="5" t="s">
        <v>15</v>
      </c>
      <c r="O3" s="5" t="s">
        <v>47</v>
      </c>
      <c r="P3" s="5" t="s">
        <v>48</v>
      </c>
      <c r="Q3" s="5" t="s">
        <v>49</v>
      </c>
    </row>
    <row r="4" customFormat="false" ht="15" hidden="false" customHeight="false" outlineLevel="0" collapsed="false">
      <c r="A4" s="1" t="n">
        <v>2</v>
      </c>
      <c r="B4" s="1" t="n">
        <v>1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44</v>
      </c>
      <c r="I4" s="1" t="s">
        <v>54</v>
      </c>
      <c r="J4" s="8" t="n">
        <v>43298</v>
      </c>
      <c r="K4" s="9" t="n">
        <f aca="false">TRUE()</f>
        <v>1</v>
      </c>
      <c r="L4" s="5" t="s">
        <v>55</v>
      </c>
      <c r="M4" s="5" t="s">
        <v>56</v>
      </c>
      <c r="N4" s="5" t="s">
        <v>15</v>
      </c>
      <c r="P4" s="5" t="s">
        <v>57</v>
      </c>
      <c r="Q4" s="5"/>
    </row>
    <row r="5" customFormat="false" ht="15" hidden="false" customHeight="false" outlineLevel="0" collapsed="false">
      <c r="A5" s="1" t="n">
        <v>3</v>
      </c>
      <c r="B5" s="1" t="n">
        <v>1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44</v>
      </c>
      <c r="I5" s="1" t="s">
        <v>45</v>
      </c>
      <c r="J5" s="8" t="n">
        <v>24971</v>
      </c>
      <c r="K5" s="9" t="n">
        <f aca="false">TRUE()</f>
        <v>1</v>
      </c>
      <c r="L5" s="1" t="s">
        <v>62</v>
      </c>
      <c r="N5" s="5" t="s">
        <v>15</v>
      </c>
      <c r="P5" s="5" t="s">
        <v>57</v>
      </c>
      <c r="Q5" s="5"/>
    </row>
    <row r="6" customFormat="false" ht="15" hidden="false" customHeight="false" outlineLevel="0" collapsed="false">
      <c r="A6" s="1" t="n">
        <v>4</v>
      </c>
      <c r="B6" s="1" t="n">
        <v>1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44</v>
      </c>
      <c r="I6" s="1" t="s">
        <v>45</v>
      </c>
      <c r="J6" s="8" t="n">
        <v>24092</v>
      </c>
      <c r="K6" s="9" t="n">
        <f aca="false">TRUE()</f>
        <v>1</v>
      </c>
      <c r="L6" s="5" t="s">
        <v>67</v>
      </c>
      <c r="M6" s="5" t="s">
        <v>56</v>
      </c>
      <c r="N6" s="5" t="s">
        <v>15</v>
      </c>
      <c r="P6" s="5" t="s">
        <v>57</v>
      </c>
      <c r="Q6" s="5" t="s">
        <v>68</v>
      </c>
    </row>
    <row r="7" customFormat="false" ht="15" hidden="false" customHeight="false" outlineLevel="0" collapsed="false">
      <c r="A7" s="1" t="n">
        <v>5</v>
      </c>
      <c r="B7" s="1" t="n">
        <v>1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44</v>
      </c>
      <c r="I7" s="1" t="s">
        <v>45</v>
      </c>
      <c r="J7" s="8" t="n">
        <v>34615</v>
      </c>
      <c r="K7" s="9" t="n">
        <f aca="false">TRUE()</f>
        <v>1</v>
      </c>
      <c r="L7" s="1" t="s">
        <v>73</v>
      </c>
      <c r="N7" s="5" t="s">
        <v>15</v>
      </c>
      <c r="P7" s="5" t="s">
        <v>57</v>
      </c>
      <c r="Q7" s="5"/>
    </row>
    <row r="8" customFormat="false" ht="15" hidden="false" customHeight="false" outlineLevel="0" collapsed="false">
      <c r="A8" s="1" t="n">
        <v>10</v>
      </c>
      <c r="B8" s="1" t="n">
        <v>4</v>
      </c>
      <c r="C8" s="1" t="s">
        <v>63</v>
      </c>
      <c r="D8" s="1" t="s">
        <v>74</v>
      </c>
      <c r="E8" s="1" t="s">
        <v>75</v>
      </c>
      <c r="F8" s="1" t="s">
        <v>76</v>
      </c>
      <c r="G8" s="1" t="s">
        <v>77</v>
      </c>
      <c r="I8" s="1" t="s">
        <v>45</v>
      </c>
      <c r="J8" s="8" t="n">
        <v>25778</v>
      </c>
      <c r="K8" s="7" t="b">
        <f aca="false">TRUE()</f>
        <v>1</v>
      </c>
      <c r="L8" s="1" t="s">
        <v>78</v>
      </c>
      <c r="N8" s="5" t="s">
        <v>15</v>
      </c>
      <c r="P8" s="1" t="s">
        <v>48</v>
      </c>
    </row>
    <row r="9" customFormat="false" ht="15" hidden="false" customHeight="false" outlineLevel="0" collapsed="false">
      <c r="A9" s="1" t="n">
        <v>7</v>
      </c>
      <c r="B9" s="1" t="n">
        <v>4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77</v>
      </c>
      <c r="I9" s="1" t="s">
        <v>54</v>
      </c>
      <c r="J9" s="8" t="n">
        <v>31934</v>
      </c>
      <c r="K9" s="7" t="b">
        <f aca="false">TRUE()</f>
        <v>1</v>
      </c>
      <c r="L9" s="1" t="s">
        <v>83</v>
      </c>
      <c r="N9" s="5" t="s">
        <v>15</v>
      </c>
      <c r="P9" s="1" t="s">
        <v>57</v>
      </c>
    </row>
    <row r="10" customFormat="false" ht="15" hidden="false" customHeight="false" outlineLevel="0" collapsed="false">
      <c r="A10" s="1" t="n">
        <v>8</v>
      </c>
      <c r="B10" s="1" t="n">
        <v>4</v>
      </c>
      <c r="C10" s="1" t="s">
        <v>41</v>
      </c>
      <c r="D10" s="1" t="s">
        <v>84</v>
      </c>
      <c r="E10" s="1" t="s">
        <v>85</v>
      </c>
      <c r="F10" s="1" t="s">
        <v>86</v>
      </c>
      <c r="G10" s="1" t="s">
        <v>77</v>
      </c>
      <c r="I10" s="1" t="s">
        <v>45</v>
      </c>
      <c r="J10" s="8" t="n">
        <v>23346</v>
      </c>
      <c r="K10" s="7" t="b">
        <f aca="false">TRUE()</f>
        <v>1</v>
      </c>
      <c r="L10" s="1" t="s">
        <v>87</v>
      </c>
      <c r="N10" s="5" t="s">
        <v>15</v>
      </c>
      <c r="O10" s="1" t="s">
        <v>88</v>
      </c>
      <c r="P10" s="1" t="s">
        <v>57</v>
      </c>
    </row>
    <row r="12" customFormat="false" ht="15" hidden="false" customHeight="false" outlineLevel="0" collapsed="false">
      <c r="J12" s="8"/>
    </row>
    <row r="13" customFormat="false" ht="15" hidden="false" customHeight="false" outlineLevel="0" collapsed="false">
      <c r="A13" s="1" t="n">
        <v>6</v>
      </c>
      <c r="B13" s="1" t="n">
        <v>4</v>
      </c>
      <c r="C13" s="1" t="s">
        <v>50</v>
      </c>
      <c r="D13" s="1" t="str">
        <f aca="false">E13&amp;" "&amp;F13&amp;" "&amp;G13</f>
        <v>Nataly Catherine Douglas</v>
      </c>
      <c r="E13" s="1" t="s">
        <v>89</v>
      </c>
      <c r="F13" s="1" t="s">
        <v>90</v>
      </c>
      <c r="G13" s="1" t="s">
        <v>77</v>
      </c>
      <c r="I13" s="1" t="s">
        <v>45</v>
      </c>
      <c r="J13" s="8" t="n">
        <v>42889</v>
      </c>
      <c r="K13" s="7" t="b">
        <f aca="false">TRUE()</f>
        <v>1</v>
      </c>
      <c r="L13" s="1" t="s">
        <v>91</v>
      </c>
      <c r="N13" s="5" t="s">
        <v>15</v>
      </c>
      <c r="P13" s="1" t="s">
        <v>48</v>
      </c>
    </row>
  </sheetData>
  <autoFilter ref="B1:P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30.18"/>
    <col collapsed="false" customWidth="true" hidden="false" outlineLevel="0" max="3" min="3" style="1" width="18.67"/>
    <col collapsed="false" customWidth="true" hidden="false" outlineLevel="0" max="4" min="4" style="1" width="21.48"/>
    <col collapsed="false" customWidth="true" hidden="false" outlineLevel="0" max="5" min="5" style="1" width="17.56"/>
    <col collapsed="false" customWidth="true" hidden="false" outlineLevel="0" max="6" min="6" style="1" width="14.01"/>
  </cols>
  <sheetData>
    <row r="1" customFormat="false" ht="17.9" hidden="false" customHeight="true" outlineLevel="0" collapsed="false">
      <c r="A1" s="6" t="s">
        <v>92</v>
      </c>
      <c r="B1" s="6" t="s">
        <v>93</v>
      </c>
      <c r="C1" s="6" t="s">
        <v>94</v>
      </c>
      <c r="D1" s="6" t="s">
        <v>95</v>
      </c>
      <c r="E1" s="5" t="s">
        <v>96</v>
      </c>
      <c r="F1" s="6" t="s">
        <v>97</v>
      </c>
    </row>
    <row r="2" customFormat="false" ht="17.9" hidden="false" customHeight="true" outlineLevel="0" collapsed="false">
      <c r="A2" s="10" t="n">
        <v>2</v>
      </c>
      <c r="B2" s="11" t="s">
        <v>98</v>
      </c>
      <c r="C2" s="12" t="n">
        <v>37125</v>
      </c>
      <c r="D2" s="6" t="s">
        <v>99</v>
      </c>
      <c r="E2" s="5" t="s">
        <v>100</v>
      </c>
      <c r="F2" s="6" t="s">
        <v>101</v>
      </c>
    </row>
    <row r="3" customFormat="false" ht="17.9" hidden="false" customHeight="true" outlineLevel="0" collapsed="false">
      <c r="A3" s="10" t="n">
        <v>1</v>
      </c>
      <c r="B3" s="11" t="s">
        <v>102</v>
      </c>
      <c r="C3" s="12" t="n">
        <v>40777</v>
      </c>
      <c r="D3" s="6" t="s">
        <v>99</v>
      </c>
      <c r="E3" s="5" t="s">
        <v>100</v>
      </c>
      <c r="F3" s="6" t="s">
        <v>101</v>
      </c>
    </row>
    <row r="4" customFormat="false" ht="17.9" hidden="false" customHeight="true" outlineLevel="0" collapsed="false">
      <c r="A4" s="10" t="n">
        <v>3</v>
      </c>
      <c r="B4" s="11" t="s">
        <v>103</v>
      </c>
      <c r="C4" s="12" t="n">
        <v>33472</v>
      </c>
      <c r="D4" s="6" t="s">
        <v>99</v>
      </c>
      <c r="E4" s="5" t="s">
        <v>100</v>
      </c>
      <c r="F4" s="6" t="s">
        <v>101</v>
      </c>
    </row>
    <row r="5" customFormat="false" ht="17.9" hidden="false" customHeight="true" outlineLevel="0" collapsed="false">
      <c r="A5" s="10" t="n">
        <v>4</v>
      </c>
      <c r="B5" s="11" t="s">
        <v>104</v>
      </c>
      <c r="C5" s="12" t="n">
        <v>36760</v>
      </c>
      <c r="D5" s="6" t="s">
        <v>99</v>
      </c>
      <c r="E5" s="5" t="s">
        <v>100</v>
      </c>
      <c r="F5" s="6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_dlc_DocId xmlns="3e6b7dd4-2bb2-4196-9652-5398d96bc50e">2U7ZY7PPZMKK-1591890653-58687</_dlc_DocId>
    <ContentLanguage xmlns="ca283e0b-db31-4043-a2ef-b80661bf084a">English</ContentLanguage>
    <TaxKeywordTaxHTField xmlns="3e6b7dd4-2bb2-4196-9652-5398d96bc50e">
      <Terms xmlns="http://schemas.microsoft.com/office/infopath/2007/PartnerControls"/>
    </TaxKeywordTaxHTField>
    <j048a4f9aaad4a8990a1d5e5f53cb451 xmlns="ca283e0b-db31-4043-a2ef-b80661bf084a">
      <Terms xmlns="http://schemas.microsoft.com/office/infopath/2007/PartnerControls"/>
    </j048a4f9aaad4a8990a1d5e5f53cb451>
    <_dlc_DocIdUrl xmlns="3e6b7dd4-2bb2-4196-9652-5398d96bc50e">
      <Url>https://unicef.sharepoint.com/teams/EMOPS-HCT-MIS/_layouts/15/DocIdRedir.aspx?ID=2U7ZY7PPZMKK-1591890653-58687</Url>
      <Description>2U7ZY7PPZMKK-1591890653-58687</Description>
    </_dlc_DocIdUrl>
    <ga975397408f43e4b84ec8e5a598e523 xmlns="ca283e0b-db31-4043-a2ef-b80661bf084a">
      <Terms xmlns="http://schemas.microsoft.com/office/infopath/2007/PartnerControls">
        <TermInfo>
          <TermName>Office of Emergency Prog.-456F</TermName>
          <TermId>98de697e-6403-48a0-9bce-654c90399d04</TermId>
        </TermInfo>
      </Terms>
    </ga975397408f43e4b84ec8e5a598e523>
    <lcf76f155ced4ddcb4097134ff3c332f xmlns="61267eee-e4b7-45ea-8680-835dd562f445">
      <Terms xmlns="http://schemas.microsoft.com/office/infopath/2007/PartnerControls"/>
    </lcf76f155ced4ddcb4097134ff3c332f>
    <TaxCatchAll xmlns="ca283e0b-db31-4043-a2ef-b80661bf084a">
      <Value>8</Value>
    </TaxCatchAll>
    <j169e817e0ee4eb8974e6fc4a2762909 xmlns="ca283e0b-db31-4043-a2ef-b80661bf084a">
      <Terms xmlns="http://schemas.microsoft.com/office/infopath/2007/PartnerControls"/>
    </j169e817e0ee4eb8974e6fc4a2762909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ContentStatus xmlns="ca283e0b-db31-4043-a2ef-b80661bf084a" xsi:nil="true"/>
    <SemaphoreItemMetadata xmlns="3e6b7dd4-2bb2-4196-9652-5398d96bc50e" xsi:nil="true"/>
    <SenderEmail xmlns="ca283e0b-db31-4043-a2ef-b80661bf084a" xsi:nil="true"/>
    <IconOverlay xmlns="http://schemas.microsoft.com/sharepoint/v4" xsi:nil="true"/>
    <CategoryDescription xmlns="http://schemas.microsoft.com/sharepoint.v3" xsi:nil="true"/>
    <RecipientsEmail xmlns="ca283e0b-db31-4043-a2ef-b80661bf084a" xsi:nil="true"/>
    <WrittenBy xmlns="ca283e0b-db31-4043-a2ef-b80661bf084a">
      <UserInfo>
        <DisplayName/>
        <AccountId xsi:nil="true"/>
        <AccountType/>
      </UserInfo>
    </Written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90259B1C3E32A469007EBA1F285C75E" ma:contentTypeVersion="34" ma:contentTypeDescription="" ma:contentTypeScope="" ma:versionID="bb99255dca408655a10468ee5651424a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3e6b7dd4-2bb2-4196-9652-5398d96bc50e" xmlns:ns5="61267eee-e4b7-45ea-8680-835dd562f445" xmlns:ns6="http://schemas.microsoft.com/sharepoint/v4" targetNamespace="http://schemas.microsoft.com/office/2006/metadata/properties" ma:root="true" ma:fieldsID="38bfd997b8dc8b18d816625bd28414ed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3e6b7dd4-2bb2-4196-9652-5398d96bc50e"/>
    <xsd:import namespace="61267eee-e4b7-45ea-8680-835dd562f44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KeyPoints" minOccurs="0"/>
                <xsd:element ref="ns5:MediaServiceKeyPoints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Loca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4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2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6a9ac205-7ba6-415f-bf1b-34cd6422d11b}" ma:internalName="TaxCatchAllLabel" ma:readOnly="true" ma:showField="CatchAllDataLabel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6a9ac205-7ba6-415f-bf1b-34cd6422d11b}" ma:internalName="TaxCatchAll" ma:showField="CatchAllData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b7dd4-2bb2-4196-9652-5398d96bc50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5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49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67eee-e4b7-45ea-8680-835dd562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5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689BB-93E8-457C-8B8D-EF4B9E784790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3e6b7dd4-2bb2-4196-9652-5398d96bc50e"/>
    <ds:schemaRef ds:uri="61267eee-e4b7-45ea-8680-835dd562f445"/>
    <ds:schemaRef ds:uri="http://schemas.microsoft.com/sharepoint/v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36DA1F24-5F1F-4FE5-AE53-B386D090B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3e6b7dd4-2bb2-4196-9652-5398d96bc50e"/>
    <ds:schemaRef ds:uri="61267eee-e4b7-45ea-8680-835dd562f44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228A1-D454-4212-9652-9BFF65D1F3A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DEECF544-9ABB-4C46-ACF5-B16EF53FF71D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5C8DCD2-F36A-4784-8FE3-78924C7AF8FB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77AF7685-498B-4978-9FB1-61520B091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2023-06-18T09:52:36Z</dcterms:created>
  <dc:creator>openpyxl</dc:creator>
  <dc:description/>
  <dc:language>en-US</dc:language>
  <cp:lastModifiedBy/>
  <dcterms:modified xsi:type="dcterms:W3CDTF">2025-09-12T08:05:22Z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0x0101009BA85F8052A6DA4FA3E31FF9F74C697000290259B1C3E32A469007EBA1F285C75E</vt:lpwstr>
  </property>
  <property fmtid="{D5CDD505-2E9C-101B-9397-08002B2CF9AE}" pid="3" name="CriticalForLongTermRetention">
    <vt:lpwstr/>
  </property>
  <property fmtid="{D5CDD505-2E9C-101B-9397-08002B2CF9AE}" pid="4" name="DocumentType">
    <vt:lpwstr/>
  </property>
  <property fmtid="{D5CDD505-2E9C-101B-9397-08002B2CF9AE}" pid="5" name="GeographicScope">
    <vt:lpwstr/>
  </property>
  <property fmtid="{D5CDD505-2E9C-101B-9397-08002B2CF9AE}" pid="6" name="MediaServiceImageTags">
    <vt:lpwstr/>
  </property>
  <property fmtid="{D5CDD505-2E9C-101B-9397-08002B2CF9AE}" pid="7" name="OfficeDivision">
    <vt:lpwstr>8;#Office of Emergency Prog.-456F|98de697e-6403-48a0-9bce-654c90399d04</vt:lpwstr>
  </property>
  <property fmtid="{D5CDD505-2E9C-101B-9397-08002B2CF9AE}" pid="8" name="SystemDTAC">
    <vt:lpwstr/>
  </property>
  <property fmtid="{D5CDD505-2E9C-101B-9397-08002B2CF9AE}" pid="9" name="TaxKeyword">
    <vt:lpwstr/>
  </property>
  <property fmtid="{D5CDD505-2E9C-101B-9397-08002B2CF9AE}" pid="10" name="Topic">
    <vt:lpwstr/>
  </property>
  <property fmtid="{D5CDD505-2E9C-101B-9397-08002B2CF9AE}" pid="11" name="_dlc_DocIdItemGuid">
    <vt:lpwstr>ae28c5e6-16f9-4288-b4c4-455402add37f</vt:lpwstr>
  </property>
</Properties>
</file>