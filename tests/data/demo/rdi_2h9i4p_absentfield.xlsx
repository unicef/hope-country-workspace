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Individuals!$B$1:$P$13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<sst xmlns="http://schemas.openxmlformats.org/spreadsheetml/2006/main" count="150" uniqueCount="101">
  <si>
    <t xml:space="preserve">household_id</t>
  </si>
  <si>
    <t xml:space="preserve">consent_h_c</t>
  </si>
  <si>
    <t xml:space="preserve">country_origin_h_c</t>
  </si>
  <si>
    <t xml:space="preserve">admin1_h_c</t>
  </si>
  <si>
    <t xml:space="preserve">admin2_h_c</t>
  </si>
  <si>
    <t xml:space="preserve">admin3_h_c</t>
  </si>
  <si>
    <t xml:space="preserve">size_h_c</t>
  </si>
  <si>
    <t xml:space="preserve">registration_method_h_c</t>
  </si>
  <si>
    <t xml:space="preserve">name_enumerator_h_c</t>
  </si>
  <si>
    <t xml:space="preserve">org_enumerator_h_c</t>
  </si>
  <si>
    <t xml:space="preserve">consent_sharing_h_c</t>
  </si>
  <si>
    <t xml:space="preserve">head_of_household_id</t>
  </si>
  <si>
    <t xml:space="preserve">primary_collector_id</t>
  </si>
  <si>
    <t xml:space="preserve">alternate_collector_id</t>
  </si>
  <si>
    <t xml:space="preserve">AFG</t>
  </si>
  <si>
    <t xml:space="preserve">AF29</t>
  </si>
  <si>
    <t xml:space="preserve">AF0902</t>
  </si>
  <si>
    <t xml:space="preserve">UA0112001</t>
  </si>
  <si>
    <t xml:space="preserve">HH_REGISTRATION</t>
  </si>
  <si>
    <t xml:space="preserve">Ryan</t>
  </si>
  <si>
    <t xml:space="preserve">PARTNER</t>
  </si>
  <si>
    <t xml:space="preserve">HUMANITARIAN_PARTNER,UNICEF</t>
  </si>
  <si>
    <t xml:space="preserve">Vanessa</t>
  </si>
  <si>
    <t xml:space="preserve">unicef government_partner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</si>
  <si>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</si>
  <si>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</si>
  <si>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</si>
  <si>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</si>
  <si>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</si>
  <si>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</si>
  <si>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</si>
  <si>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</si>
  <si>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</si>
  <si>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</si>
  <si>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</si>
  <si>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</si>
  <si>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</si>
  <si>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</si>
  <si>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disability_i_c</t>
  </si>
  <si>
    <t xml:space="preserve">HEAD</t>
  </si>
  <si>
    <t xml:space="preserve">Edward Jeffrey Rogers</t>
  </si>
  <si>
    <t xml:space="preserve">Edward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</si>
  <si>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</si>
  <si>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</si>
  <si>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</si>
  <si>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</si>
  <si>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</si>
  <si>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</si>
  <si>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</si>
  <si>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</si>
  <si>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</si>
  <si>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</si>
  <si>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</si>
  <si>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 </t>
  </si>
  <si>
    <t xml:space="preserve">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</si>
  <si>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</si>
  <si>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</si>
  <si>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</si>
  <si>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</si>
  <si>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AB297FH42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</si>
  <si>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</si>
  <si>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</si>
  <si>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</si>
  <si>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</si>
  <si>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</si>
  <si>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</si>
  <si>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</si>
  <si>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</si>
  <si>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</si>
  <si>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KM615QR83</t>
  </si>
  <si>
    <t xml:space="preserve">Samantha Amber Douglas</t>
  </si>
  <si>
    <t xml:space="preserve">Samantha</t>
  </si>
  <si>
    <t xml:space="preserve">Amber</t>
  </si>
  <si>
    <t xml:space="preserve">Douglas</t>
  </si>
  <si>
    <t xml:space="preserve">PL439ZX17</t>
  </si>
  <si>
    <t xml:space="preserve">BROTHER_SISTER</t>
  </si>
  <si>
    <t xml:space="preserve">Amy Shawn Douglas</t>
  </si>
  <si>
    <t xml:space="preserve">Amy</t>
  </si>
  <si>
    <t xml:space="preserve">Shawn</t>
  </si>
  <si>
    <t xml:space="preserve">VN782CD56</t>
  </si>
  <si>
    <t xml:space="preserve">Justin Charles Douglas</t>
  </si>
  <si>
    <t xml:space="preserve">Justin</t>
  </si>
  <si>
    <t xml:space="preserve">Charles</t>
  </si>
  <si>
    <t xml:space="preserve">MIBCPNZV3C</t>
  </si>
  <si>
    <t xml:space="preserve">+261329346901</t>
  </si>
  <si>
    <t xml:space="preserve">Nataly</t>
  </si>
  <si>
    <t xml:space="preserve">Catherine</t>
  </si>
  <si>
    <t xml:space="preserve">RT148GJ94</t>
  </si>
  <si>
    <t xml:space="preserve">pp_index_id</t>
  </si>
  <si>
    <t xml:space="preserve">pp_full_name_i_c</t>
  </si>
  <si>
    <t xml:space="preserve">pp_birth_date_i_c</t>
  </si>
  <si>
    <t xml:space="preserve">pp_residence_status_i_c</t>
  </si>
  <si>
    <t xml:space="preserve">pp_type_i_c</t>
  </si>
  <si>
    <t xml:space="preserve">pp_country_i_c</t>
  </si>
  <si>
    <t xml:space="preserve">Collector ForJanIndex_3</t>
  </si>
  <si>
    <t xml:space="preserve">REFUGEE</t>
  </si>
  <si>
    <t xml:space="preserve">NON_BENEFICIARY</t>
  </si>
  <si>
    <t xml:space="preserve">IMN</t>
  </si>
  <si>
    <t xml:space="preserve">WorkerCollector ForDerekIndex_4</t>
  </si>
  <si>
    <t xml:space="preserve">Jan    Index3</t>
  </si>
  <si>
    <t xml:space="preserve">Derek Index4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</si>
</sst>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TRUE&quot;;&quot;TRUE&quot;;&quot;FALSE&quot;"/>
    <numFmt numFmtId="166" formatCode="@"/>
    <numFmt numFmtId="167" formatCode="General"/>
    <numFmt numFmtId="168" formatCode="m/d/yyyy"/>
    <numFmt numFmtId="169" formatCode="0"/>
    <numFmt numFmtId="170" formatCode="d/m/yyyy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12</xdr:col>
      <xdr:colOff>97200</xdr:colOff>
      <xdr:row>2</xdr:row>
      <xdr:rowOff>94320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17452440" y="380880"/>
          <a:ext cx="97200" cy="9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97560</xdr:colOff>
      <xdr:row>2</xdr:row>
      <xdr:rowOff>94680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877400" y="380880"/>
          <a:ext cx="97560" cy="9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D1" activeCellId="0" sqref="D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9.63"/>
    <col collapsed="false" customWidth="true" hidden="false" outlineLevel="0" max="3" min="3" style="1" width="17.5"/>
    <col collapsed="false" customWidth="true" hidden="false" outlineLevel="0" max="5" min="4" style="1" width="11.83"/>
    <col collapsed="false" customWidth="true" hidden="false" outlineLevel="0" max="7" min="6" style="1" width="8"/>
    <col collapsed="false" customWidth="true" hidden="false" outlineLevel="0" max="8" min="8" style="1" width="22.5"/>
    <col collapsed="false" customWidth="true" hidden="false" outlineLevel="0" max="9" min="9" style="1" width="21"/>
    <col collapsed="false" customWidth="true" hidden="false" outlineLevel="0" max="10" min="10" style="1" width="19"/>
    <col collapsed="false" customWidth="true" hidden="false" outlineLevel="0" max="11" min="11" style="1" width="23.5"/>
    <col collapsed="false" customWidth="true" hidden="false" outlineLevel="0" max="12" min="12" style="1" width="19.5"/>
    <col collapsed="false" customWidth="true" hidden="false" outlineLevel="0" max="13" min="13" style="1" width="18.5"/>
    <col collapsed="false" customWidth="true" hidden="false" outlineLevel="0" max="15" min="14" style="1" width="19.5"/>
    <col collapsed="false" customWidth="true" hidden="false" outlineLevel="0" max="16380" min="16380" style="0" width="10.16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1" t="n">
        <v>1</v>
      </c>
      <c r="B3" s="4" t="n">
        <f aca="false">TRUE()</f>
        <v>1</v>
      </c>
      <c r="C3" s="5" t="s">
        <v>14</v>
      </c>
      <c r="D3" s="1" t="s">
        <v>15</v>
      </c>
      <c r="E3" s="1" t="s">
        <v>16</v>
      </c>
      <c r="F3" s="6" t="s">
        <v>17</v>
      </c>
      <c r="G3" s="1" t="n">
        <v>5</v>
      </c>
      <c r="H3" s="1" t="s">
        <v>18</v>
      </c>
      <c r="I3" s="1" t="s">
        <v>19</v>
      </c>
      <c r="J3" s="1" t="s">
        <v>20</v>
      </c>
      <c r="K3" s="1" t="s">
        <v>21</v>
      </c>
      <c r="L3" s="1" t="n">
        <v>2</v>
      </c>
      <c r="M3" s="1" t="n">
        <v>3</v>
      </c>
      <c r="N3" s="1" t="n">
        <v>10</v>
      </c>
    </row>
    <row r="4" customFormat="false" ht="15" hidden="false" customHeight="false" outlineLevel="0" collapsed="false">
      <c r="A4" s="1" t="n">
        <v>4</v>
      </c>
      <c r="B4" s="7" t="b">
        <f aca="false">TRUE()</f>
        <v>1</v>
      </c>
      <c r="C4" s="5" t="s">
        <v>14</v>
      </c>
      <c r="D4" s="5" t="s">
        <v>15</v>
      </c>
      <c r="E4" s="5" t="s">
        <v>16</v>
      </c>
      <c r="G4" s="1" t="n">
        <v>3</v>
      </c>
      <c r="H4" s="5" t="s">
        <v>18</v>
      </c>
      <c r="I4" s="5" t="s">
        <v>22</v>
      </c>
      <c r="J4" s="5" t="s">
        <v>20</v>
      </c>
      <c r="K4" s="5" t="s">
        <v>23</v>
      </c>
      <c r="L4" s="1" t="n">
        <v>7</v>
      </c>
      <c r="M4" s="1" t="n">
        <v>4</v>
      </c>
      <c r="N4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I1" colorId="64" zoomScale="148" zoomScaleNormal="148" zoomScalePageLayoutView="100" workbookViewId="0">
      <selection pane="topLeft" activeCell="O1" activeCellId="0" sqref="O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14.97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3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6" min="16" style="1" width="11.67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24</v>
      </c>
      <c r="B1" s="2" t="s">
        <v>0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</row>
    <row r="2" customFormat="false" ht="15" hidden="false" customHeight="false" outlineLevel="0" collapsed="false">
      <c r="B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39</v>
      </c>
      <c r="D3" s="1" t="s">
        <v>40</v>
      </c>
      <c r="E3" s="1" t="s">
        <v>41</v>
      </c>
      <c r="F3" s="3"/>
      <c r="G3" s="1" t="s">
        <v>42</v>
      </c>
      <c r="I3" s="1" t="s">
        <v>43</v>
      </c>
      <c r="J3" s="8" t="n">
        <v>28558</v>
      </c>
      <c r="K3" s="9" t="n">
        <f aca="false">TRUE()</f>
        <v>1</v>
      </c>
      <c r="L3" s="5" t="s">
        <v>44</v>
      </c>
      <c r="N3" s="5" t="s">
        <v>14</v>
      </c>
      <c r="O3" s="5" t="s">
        <v>45</v>
      </c>
      <c r="P3" s="5" t="s">
        <v>46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42</v>
      </c>
      <c r="I4" s="1" t="s">
        <v>51</v>
      </c>
      <c r="J4" s="8" t="n">
        <v>43298</v>
      </c>
      <c r="K4" s="9" t="n">
        <f aca="false">TRUE()</f>
        <v>1</v>
      </c>
      <c r="L4" s="5" t="s">
        <v>52</v>
      </c>
      <c r="M4" s="5" t="s">
        <v>53</v>
      </c>
      <c r="N4" s="5" t="s">
        <v>14</v>
      </c>
      <c r="P4" s="5" t="s">
        <v>54</v>
      </c>
    </row>
    <row r="5" customFormat="false" ht="15" hidden="false" customHeight="false" outlineLevel="0" collapsed="false">
      <c r="A5" s="1" t="n">
        <v>3</v>
      </c>
      <c r="B5" s="1" t="n">
        <v>1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42</v>
      </c>
      <c r="I5" s="1" t="s">
        <v>43</v>
      </c>
      <c r="J5" s="8" t="n">
        <v>24971</v>
      </c>
      <c r="K5" s="9" t="n">
        <f aca="false">TRUE()</f>
        <v>1</v>
      </c>
      <c r="L5" s="1" t="s">
        <v>59</v>
      </c>
      <c r="N5" s="5" t="s">
        <v>14</v>
      </c>
      <c r="P5" s="5" t="s">
        <v>54</v>
      </c>
    </row>
    <row r="6" customFormat="false" ht="15" hidden="false" customHeight="false" outlineLevel="0" collapsed="false">
      <c r="A6" s="1" t="n">
        <v>4</v>
      </c>
      <c r="B6" s="1" t="n">
        <v>1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42</v>
      </c>
      <c r="I6" s="1" t="s">
        <v>43</v>
      </c>
      <c r="J6" s="8" t="n">
        <v>24092</v>
      </c>
      <c r="K6" s="9" t="n">
        <f aca="false">TRUE()</f>
        <v>1</v>
      </c>
      <c r="L6" s="5" t="s">
        <v>64</v>
      </c>
      <c r="M6" s="5" t="s">
        <v>53</v>
      </c>
      <c r="N6" s="5" t="s">
        <v>14</v>
      </c>
      <c r="P6" s="5" t="s">
        <v>54</v>
      </c>
    </row>
    <row r="7" customFormat="false" ht="15" hidden="false" customHeight="false" outlineLevel="0" collapsed="false">
      <c r="A7" s="1" t="n">
        <v>5</v>
      </c>
      <c r="B7" s="1" t="n">
        <v>1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42</v>
      </c>
      <c r="I7" s="1" t="s">
        <v>43</v>
      </c>
      <c r="J7" s="8" t="n">
        <v>34615</v>
      </c>
      <c r="K7" s="9" t="n">
        <f aca="false">TRUE()</f>
        <v>1</v>
      </c>
      <c r="L7" s="1" t="s">
        <v>69</v>
      </c>
      <c r="N7" s="5" t="s">
        <v>14</v>
      </c>
      <c r="P7" s="5" t="s">
        <v>54</v>
      </c>
    </row>
    <row r="8" customFormat="false" ht="15" hidden="false" customHeight="false" outlineLevel="0" collapsed="false">
      <c r="A8" s="1" t="n">
        <v>10</v>
      </c>
      <c r="B8" s="1" t="n">
        <v>4</v>
      </c>
      <c r="C8" s="1" t="s">
        <v>60</v>
      </c>
      <c r="D8" s="1" t="s">
        <v>70</v>
      </c>
      <c r="E8" s="1" t="s">
        <v>71</v>
      </c>
      <c r="F8" s="1" t="s">
        <v>72</v>
      </c>
      <c r="G8" s="1" t="s">
        <v>73</v>
      </c>
      <c r="I8" s="1" t="s">
        <v>43</v>
      </c>
      <c r="J8" s="8" t="n">
        <v>25778</v>
      </c>
      <c r="K8" s="7" t="b">
        <f aca="false">TRUE()</f>
        <v>1</v>
      </c>
      <c r="L8" s="1" t="s">
        <v>74</v>
      </c>
      <c r="N8" s="5" t="s">
        <v>14</v>
      </c>
      <c r="P8" s="1" t="s">
        <v>46</v>
      </c>
    </row>
    <row r="9" customFormat="false" ht="15" hidden="false" customHeight="false" outlineLevel="0" collapsed="false">
      <c r="A9" s="1" t="n">
        <v>7</v>
      </c>
      <c r="B9" s="1" t="n">
        <v>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73</v>
      </c>
      <c r="I9" s="1" t="s">
        <v>51</v>
      </c>
      <c r="J9" s="8" t="n">
        <v>31934</v>
      </c>
      <c r="K9" s="7" t="b">
        <f aca="false">TRUE()</f>
        <v>1</v>
      </c>
      <c r="L9" s="1" t="s">
        <v>79</v>
      </c>
      <c r="N9" s="5" t="s">
        <v>14</v>
      </c>
      <c r="P9" s="1" t="s">
        <v>54</v>
      </c>
    </row>
    <row r="10" customFormat="false" ht="15" hidden="false" customHeight="false" outlineLevel="0" collapsed="false">
      <c r="A10" s="1" t="n">
        <v>8</v>
      </c>
      <c r="B10" s="1" t="n">
        <v>4</v>
      </c>
      <c r="C10" s="1" t="s">
        <v>39</v>
      </c>
      <c r="D10" s="1" t="s">
        <v>80</v>
      </c>
      <c r="E10" s="1" t="s">
        <v>81</v>
      </c>
      <c r="F10" s="1" t="s">
        <v>82</v>
      </c>
      <c r="G10" s="1" t="s">
        <v>73</v>
      </c>
      <c r="I10" s="1" t="s">
        <v>43</v>
      </c>
      <c r="J10" s="8" t="n">
        <v>23346</v>
      </c>
      <c r="K10" s="7" t="b">
        <f aca="false">TRUE()</f>
        <v>1</v>
      </c>
      <c r="L10" s="1" t="s">
        <v>83</v>
      </c>
      <c r="N10" s="5" t="s">
        <v>14</v>
      </c>
      <c r="O10" s="1" t="s">
        <v>84</v>
      </c>
      <c r="P10" s="1" t="s">
        <v>54</v>
      </c>
    </row>
    <row r="12" customFormat="false" ht="15" hidden="false" customHeight="false" outlineLevel="0" collapsed="false">
      <c r="J12" s="8"/>
    </row>
    <row r="13" customFormat="false" ht="15" hidden="false" customHeight="false" outlineLevel="0" collapsed="false">
      <c r="A13" s="1" t="n">
        <v>6</v>
      </c>
      <c r="B13" s="1" t="n">
        <v>4</v>
      </c>
      <c r="C13" s="1" t="s">
        <v>47</v>
      </c>
      <c r="D13" s="1" t="str">
        <f aca="false">E13&amp;" "&amp;F13&amp;" "&amp;G13</f>
        <v>Nataly Catherine Douglas</v>
      </c>
      <c r="E13" s="1" t="s">
        <v>85</v>
      </c>
      <c r="F13" s="1" t="s">
        <v>86</v>
      </c>
      <c r="G13" s="1" t="s">
        <v>73</v>
      </c>
      <c r="I13" s="1" t="s">
        <v>43</v>
      </c>
      <c r="J13" s="8" t="n">
        <v>42889</v>
      </c>
      <c r="K13" s="7" t="b">
        <f aca="false">TRUE()</f>
        <v>1</v>
      </c>
      <c r="L13" s="1" t="s">
        <v>87</v>
      </c>
      <c r="N13" s="5" t="s">
        <v>14</v>
      </c>
      <c r="P13" s="1" t="s">
        <v>46</v>
      </c>
    </row>
  </sheetData>
  <autoFilter ref="B1:P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30.18"/>
    <col collapsed="false" customWidth="true" hidden="false" outlineLevel="0" max="3" min="3" style="1" width="18.67"/>
    <col collapsed="false" customWidth="true" hidden="false" outlineLevel="0" max="4" min="4" style="1" width="21.48"/>
    <col collapsed="false" customWidth="true" hidden="false" outlineLevel="0" max="5" min="5" style="1" width="17.56"/>
    <col collapsed="false" customWidth="true" hidden="false" outlineLevel="0" max="6" min="6" style="1" width="14.01"/>
  </cols>
  <sheetData>
    <row r="1" customFormat="false" ht="17.9" hidden="false" customHeight="true" outlineLevel="0" collapsed="false">
      <c r="A1" s="6" t="s">
        <v>88</v>
      </c>
      <c r="B1" s="6" t="s">
        <v>89</v>
      </c>
      <c r="C1" s="6" t="s">
        <v>90</v>
      </c>
      <c r="D1" s="6" t="s">
        <v>91</v>
      </c>
      <c r="E1" s="5" t="s">
        <v>92</v>
      </c>
      <c r="F1" s="6" t="s">
        <v>93</v>
      </c>
    </row>
    <row r="2" customFormat="false" ht="17.9" hidden="false" customHeight="true" outlineLevel="0" collapsed="false">
      <c r="A2" s="10" t="n">
        <v>2</v>
      </c>
      <c r="B2" s="11" t="s">
        <v>94</v>
      </c>
      <c r="C2" s="12" t="n">
        <v>37125</v>
      </c>
      <c r="D2" s="6" t="s">
        <v>95</v>
      </c>
      <c r="E2" s="5" t="s">
        <v>96</v>
      </c>
      <c r="F2" s="6" t="s">
        <v>97</v>
      </c>
    </row>
    <row r="3" customFormat="false" ht="17.9" hidden="false" customHeight="true" outlineLevel="0" collapsed="false">
      <c r="A3" s="10" t="n">
        <v>1</v>
      </c>
      <c r="B3" s="11" t="s">
        <v>98</v>
      </c>
      <c r="C3" s="12" t="n">
        <v>40777</v>
      </c>
      <c r="D3" s="6" t="s">
        <v>95</v>
      </c>
      <c r="E3" s="5" t="s">
        <v>96</v>
      </c>
      <c r="F3" s="6" t="s">
        <v>97</v>
      </c>
    </row>
    <row r="4" customFormat="false" ht="17.9" hidden="false" customHeight="true" outlineLevel="0" collapsed="false">
      <c r="A4" s="10" t="n">
        <v>3</v>
      </c>
      <c r="B4" s="11" t="s">
        <v>99</v>
      </c>
      <c r="C4" s="12" t="n">
        <v>33472</v>
      </c>
      <c r="D4" s="6" t="s">
        <v>95</v>
      </c>
      <c r="E4" s="5" t="s">
        <v>96</v>
      </c>
      <c r="F4" s="6" t="s">
        <v>97</v>
      </c>
    </row>
    <row r="5" customFormat="false" ht="17.9" hidden="false" customHeight="true" outlineLevel="0" collapsed="false">
      <c r="A5" s="10" t="n">
        <v>4</v>
      </c>
      <c r="B5" s="11" t="s">
        <v>100</v>
      </c>
      <c r="C5" s="12" t="n">
        <v>36760</v>
      </c>
      <c r="D5" s="6" t="s">
        <v>95</v>
      </c>
      <c r="E5" s="5" t="s">
        <v>96</v>
      </c>
      <c r="F5" s="6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2025-09-12T08:05:47Z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